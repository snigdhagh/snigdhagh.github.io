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igdhagurram/Desktop/"/>
    </mc:Choice>
  </mc:AlternateContent>
  <xr:revisionPtr revIDLastSave="0" documentId="13_ncr:1_{20A96D9F-BD06-984B-8796-8BBEB5364747}" xr6:coauthVersionLast="47" xr6:coauthVersionMax="47" xr10:uidLastSave="{00000000-0000-0000-0000-000000000000}"/>
  <bookViews>
    <workbookView xWindow="0" yWindow="2660" windowWidth="28800" windowHeight="14500" xr2:uid="{FABE5BD5-1823-430C-AF2C-599564FB87E2}"/>
  </bookViews>
  <sheets>
    <sheet name="Global_Radiation" sheetId="1" r:id="rId1"/>
    <sheet name="Measurements" sheetId="2" r:id="rId2"/>
  </sheets>
  <externalReferences>
    <externalReference r:id="rId3"/>
  </externalReferences>
  <definedNames>
    <definedName name="Inverter_Eff">[1]Panels!$B$6</definedName>
    <definedName name="Panel_Area">[1]Panels!$B$1</definedName>
    <definedName name="Panel_Efficiency">[1]Panels!$B$2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C31" i="1" s="1"/>
  <c r="E30" i="1"/>
  <c r="F30" i="1"/>
  <c r="E31" i="1" s="1"/>
  <c r="G30" i="1"/>
  <c r="H30" i="1"/>
  <c r="G31" i="1" s="1"/>
  <c r="I30" i="1"/>
  <c r="J30" i="1"/>
  <c r="I31" i="1" s="1"/>
  <c r="K30" i="1"/>
  <c r="L30" i="1"/>
  <c r="K31" i="1" s="1"/>
  <c r="M30" i="1"/>
  <c r="B30" i="1"/>
  <c r="B31" i="1" s="1"/>
  <c r="F31" i="1"/>
  <c r="H31" i="1"/>
  <c r="J31" i="1"/>
  <c r="L31" i="1"/>
  <c r="N26" i="1"/>
  <c r="D31" i="1" l="1"/>
  <c r="B33" i="1" s="1"/>
  <c r="B34" i="1" s="1"/>
  <c r="M31" i="1"/>
</calcChain>
</file>

<file path=xl/sharedStrings.xml><?xml version="1.0" encoding="utf-8"?>
<sst xmlns="http://schemas.openxmlformats.org/spreadsheetml/2006/main" count="39" uniqueCount="30">
  <si>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</si>
  <si>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</si>
  <si>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</si>
  <si>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</si>
  <si>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</si>
  <si>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</si>
  <si>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</si>
  <si>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</si>
  <si>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</si>
  <si>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</si>
  <si>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</si>
  <si>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</si>
  <si>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Nb of days</t>
  </si>
  <si>
    <t>Day (Wh/m2)</t>
  </si>
  <si>
    <t>Global Radiation (Wh/m2)</t>
  </si>
  <si>
    <t>Date</t>
  </si>
  <si>
    <t>Lynnbrook HighSchool</t>
  </si>
  <si>
    <t>CSI contract:</t>
  </si>
  <si>
    <t>PGE-CSI-12929</t>
  </si>
  <si>
    <t>Data retrieved from</t>
  </si>
  <si>
    <t>http://californiasolarstatistics.ca.gov/current_data_files/</t>
  </si>
  <si>
    <t>on</t>
  </si>
  <si>
    <t>Measured (kWh/month)</t>
  </si>
  <si>
    <t>Sum</t>
  </si>
  <si>
    <t>Positive</t>
  </si>
  <si>
    <t>Posititve</t>
  </si>
  <si>
    <t>Negative</t>
  </si>
  <si>
    <t>MWh (3b)</t>
  </si>
  <si>
    <t>(3c)</t>
  </si>
  <si>
    <t>(3d)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</si>
</sst>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0" fontId="1" fillId="0" borderId="0" xfId="2" applyAlignment="1">
      <alignment horizontal="center" vertical="center" wrapText="1"/>
    </xf>
    <xf numFmtId="164" fontId="0" fillId="0" borderId="0" xfId="3" applyNumberFormat="1" applyFont="1" applyAlignment="1">
      <alignment horizontal="center" vertical="center" wrapText="1"/>
    </xf>
    <xf numFmtId="14" fontId="1" fillId="0" borderId="0" xfId="2" applyNumberFormat="1"/>
    <xf numFmtId="164" fontId="0" fillId="0" borderId="0" xfId="3" applyNumberFormat="1" applyFont="1"/>
    <xf numFmtId="0" fontId="2" fillId="0" borderId="0" xfId="2" applyFont="1"/>
    <xf numFmtId="0" fontId="1" fillId="0" borderId="0" xfId="2"/>
    <xf numFmtId="0" fontId="2" fillId="0" borderId="0" xfId="0" applyFont="1"/>
    <xf numFmtId="0" fontId="0" fillId="0" borderId="0" xfId="1" applyNumberFormat="1" applyFont="1"/>
    <xf numFmtId="0" fontId="0" fillId="0" borderId="0" xfId="0" applyNumberFormat="1"/>
    <xf numFmtId="43" fontId="2" fillId="0" borderId="0" xfId="0" applyNumberFormat="1" applyFont="1"/>
    <xf numFmtId="43" fontId="0" fillId="0" borderId="0" xfId="0" applyNumberFormat="1"/>
  </cellXfs>
  <cellStyles count="4">
    <cellStyle name="Comma" xfId="1" builtinId="3"/>
    <cellStyle name="Comma 2" xfId="3" xr:uid="{87F40C7B-A65E-4AAC-9149-740F5A889E47}"/>
    <cellStyle name="Normal" xfId="0" builtinId="0"/>
    <cellStyle name="Normal 2" xfId="2" xr:uid="{CE792A74-5119-425D-90B0-49C6C9A8C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xRg/Desktop/SJSU%20ME172/Homework/LHS%20Solar%20Model_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LHS"/>
      <sheetName val="FUHSD"/>
      <sheetName val="CZ4_Direct"/>
      <sheetName val="CZ4_Diffus"/>
      <sheetName val="Solrad_Projection"/>
      <sheetName val="DirectByPanels"/>
      <sheetName val="ShadingMatrix"/>
      <sheetName val="DirectPanelswithSade"/>
      <sheetName val="GlobalPanel"/>
      <sheetName val="Panels"/>
      <sheetName val="Generation_per_Panel"/>
      <sheetName val="Generation_Total"/>
      <sheetName val="Batteries"/>
      <sheetName val="PG&amp;_E19_Week"/>
      <sheetName val="PG&amp;E_E19_Holiday"/>
      <sheetName val="Savings"/>
      <sheetName val="Finance"/>
      <sheetName val="Monitor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>
            <v>1.631</v>
          </cell>
        </row>
        <row r="2">
          <cell r="B2">
            <v>0.18</v>
          </cell>
        </row>
        <row r="6">
          <cell r="B6">
            <v>0.96499999999999997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7E22-6E21-4915-B3DA-1FDA12085E34}">
  <dimension ref="A1:AE56"/>
  <sheetViews>
    <sheetView tabSelected="1" topLeftCell="A7" zoomScale="93" workbookViewId="0">
      <selection activeCell="N37" sqref="N37"/>
    </sheetView>
  </sheetViews>
  <sheetFormatPr baseColWidth="10" defaultColWidth="8.83203125" defaultRowHeight="15" x14ac:dyDescent="0.2"/>
  <cols>
    <col min="1" max="1" width="24.5" customWidth="1"/>
    <col min="2" max="2" width="16.83203125" bestFit="1" customWidth="1"/>
    <col min="3" max="13" width="16.33203125" bestFit="1" customWidth="1"/>
    <col min="14" max="14" width="10.5" bestFit="1" customWidth="1"/>
  </cols>
  <sheetData>
    <row r="1" spans="1:13" x14ac:dyDescent="0.2">
      <c r="A1" s="8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">
      <c r="A3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>
        <v>5</v>
      </c>
      <c r="B7" s="1">
        <v>0</v>
      </c>
      <c r="C7" s="1">
        <v>0</v>
      </c>
      <c r="D7" s="1">
        <v>0</v>
      </c>
      <c r="E7" s="1">
        <v>1</v>
      </c>
      <c r="F7" s="1">
        <v>18</v>
      </c>
      <c r="G7" s="1">
        <v>30</v>
      </c>
      <c r="H7" s="1">
        <v>16</v>
      </c>
      <c r="I7" s="1">
        <v>2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>
        <v>6</v>
      </c>
      <c r="B8" s="1">
        <v>0</v>
      </c>
      <c r="C8" s="1">
        <v>0</v>
      </c>
      <c r="D8" s="1">
        <v>13</v>
      </c>
      <c r="E8" s="1">
        <v>47</v>
      </c>
      <c r="F8" s="1">
        <v>77.243320074369493</v>
      </c>
      <c r="G8" s="1">
        <v>86.415377741349431</v>
      </c>
      <c r="H8" s="1">
        <v>81</v>
      </c>
      <c r="I8" s="1">
        <v>54</v>
      </c>
      <c r="J8" s="1">
        <v>28</v>
      </c>
      <c r="K8" s="1">
        <v>6</v>
      </c>
      <c r="L8" s="1">
        <v>0</v>
      </c>
      <c r="M8" s="1">
        <v>0</v>
      </c>
    </row>
    <row r="9" spans="1:13" x14ac:dyDescent="0.2">
      <c r="A9">
        <v>7</v>
      </c>
      <c r="B9" s="1">
        <v>3</v>
      </c>
      <c r="C9" s="1">
        <v>20</v>
      </c>
      <c r="D9" s="1">
        <v>62</v>
      </c>
      <c r="E9" s="1">
        <v>183.72270259689219</v>
      </c>
      <c r="F9" s="1">
        <v>233.5268161107621</v>
      </c>
      <c r="G9" s="1">
        <v>255.00678888538744</v>
      </c>
      <c r="H9" s="1">
        <v>228.94607219172804</v>
      </c>
      <c r="I9" s="1">
        <v>193.41038273300239</v>
      </c>
      <c r="J9" s="1">
        <v>90</v>
      </c>
      <c r="K9" s="1">
        <v>65</v>
      </c>
      <c r="L9" s="1">
        <v>28</v>
      </c>
      <c r="M9" s="1">
        <v>6</v>
      </c>
    </row>
    <row r="10" spans="1:13" x14ac:dyDescent="0.2">
      <c r="A10">
        <v>8</v>
      </c>
      <c r="B10" s="1">
        <v>55</v>
      </c>
      <c r="C10" s="1">
        <v>150.08721432908038</v>
      </c>
      <c r="D10" s="1">
        <v>208.67219017818186</v>
      </c>
      <c r="E10" s="1">
        <v>356.28970731200866</v>
      </c>
      <c r="F10" s="1">
        <v>425.34516170459563</v>
      </c>
      <c r="G10" s="1">
        <v>455.22892297172086</v>
      </c>
      <c r="H10" s="1">
        <v>418.01113595383492</v>
      </c>
      <c r="I10" s="1">
        <v>384.21658023707244</v>
      </c>
      <c r="J10" s="1">
        <v>319.52968769534328</v>
      </c>
      <c r="K10" s="1">
        <v>277.73377722584439</v>
      </c>
      <c r="L10" s="1">
        <v>88</v>
      </c>
      <c r="M10" s="1">
        <v>52</v>
      </c>
    </row>
    <row r="11" spans="1:13" x14ac:dyDescent="0.2">
      <c r="A11">
        <v>9</v>
      </c>
      <c r="B11" s="1">
        <v>232.55447858563289</v>
      </c>
      <c r="C11" s="1">
        <v>282.84947894839991</v>
      </c>
      <c r="D11" s="1">
        <v>326.31600840771944</v>
      </c>
      <c r="E11" s="1">
        <v>572.23676443948489</v>
      </c>
      <c r="F11" s="1">
        <v>612.41540569056292</v>
      </c>
      <c r="G11" s="1">
        <v>662.53349401461082</v>
      </c>
      <c r="H11" s="1">
        <v>611.73712256060207</v>
      </c>
      <c r="I11" s="1">
        <v>581.41225506048181</v>
      </c>
      <c r="J11" s="1">
        <v>564.63719788369485</v>
      </c>
      <c r="K11" s="1">
        <v>437.76244259348988</v>
      </c>
      <c r="L11" s="1">
        <v>322.83618970607336</v>
      </c>
      <c r="M11" s="1">
        <v>247.25110387097979</v>
      </c>
    </row>
    <row r="12" spans="1:13" x14ac:dyDescent="0.2">
      <c r="A12">
        <v>10</v>
      </c>
      <c r="B12" s="1">
        <v>341.80646038324721</v>
      </c>
      <c r="C12" s="1">
        <v>417.41856056340134</v>
      </c>
      <c r="D12" s="1">
        <v>429.83257148278369</v>
      </c>
      <c r="E12" s="1">
        <v>711.73473610925498</v>
      </c>
      <c r="F12" s="1">
        <v>781.75615564502846</v>
      </c>
      <c r="G12" s="1">
        <v>825.84739606550522</v>
      </c>
      <c r="H12" s="1">
        <v>779.20153321990631</v>
      </c>
      <c r="I12" s="1">
        <v>780.0655731515518</v>
      </c>
      <c r="J12" s="1">
        <v>735.28613394855142</v>
      </c>
      <c r="K12" s="1">
        <v>585.98921363041143</v>
      </c>
      <c r="L12" s="1">
        <v>456.57994669835352</v>
      </c>
      <c r="M12" s="1">
        <v>356.05402290317875</v>
      </c>
    </row>
    <row r="13" spans="1:13" x14ac:dyDescent="0.2">
      <c r="A13">
        <v>11</v>
      </c>
      <c r="B13" s="1">
        <v>456.38874941780927</v>
      </c>
      <c r="C13" s="1">
        <v>481.79357226867967</v>
      </c>
      <c r="D13" s="1">
        <v>509.89895757592001</v>
      </c>
      <c r="E13" s="1">
        <v>830.77002434444023</v>
      </c>
      <c r="F13" s="1">
        <v>884.03240465341628</v>
      </c>
      <c r="G13" s="1">
        <v>941.23983590107355</v>
      </c>
      <c r="H13" s="1">
        <v>925.99470728798792</v>
      </c>
      <c r="I13" s="1">
        <v>899.50140995588049</v>
      </c>
      <c r="J13" s="1">
        <v>840.22159319126865</v>
      </c>
      <c r="K13" s="1">
        <v>713.05882649106695</v>
      </c>
      <c r="L13" s="1">
        <v>542.22873959506376</v>
      </c>
      <c r="M13" s="1">
        <v>488.27099098081425</v>
      </c>
    </row>
    <row r="14" spans="1:13" x14ac:dyDescent="0.2">
      <c r="A14">
        <v>12</v>
      </c>
      <c r="B14" s="1">
        <v>469.71750121156111</v>
      </c>
      <c r="C14" s="1">
        <v>529.22944615322513</v>
      </c>
      <c r="D14" s="1">
        <v>512.92714628210001</v>
      </c>
      <c r="E14" s="1">
        <v>835.89511986639752</v>
      </c>
      <c r="F14" s="1">
        <v>953.7508739950265</v>
      </c>
      <c r="G14" s="1">
        <v>991.49776323260505</v>
      </c>
      <c r="H14" s="1">
        <v>980.17574390914797</v>
      </c>
      <c r="I14" s="1">
        <v>964.3212740544642</v>
      </c>
      <c r="J14" s="1">
        <v>887.43855072977055</v>
      </c>
      <c r="K14" s="1">
        <v>763.71403789371846</v>
      </c>
      <c r="L14" s="1">
        <v>601.62232008223657</v>
      </c>
      <c r="M14" s="1">
        <v>515.19453729570739</v>
      </c>
    </row>
    <row r="15" spans="1:13" x14ac:dyDescent="0.2">
      <c r="A15">
        <v>13</v>
      </c>
      <c r="B15" s="1">
        <v>477.07326198384214</v>
      </c>
      <c r="C15" s="1">
        <v>544.61491470018564</v>
      </c>
      <c r="D15" s="1">
        <v>486.66277507446461</v>
      </c>
      <c r="E15" s="1">
        <v>785.9058168360624</v>
      </c>
      <c r="F15" s="1">
        <v>922.79957023560451</v>
      </c>
      <c r="G15" s="1">
        <v>963.8106523230706</v>
      </c>
      <c r="H15" s="1">
        <v>967.64662727537154</v>
      </c>
      <c r="I15" s="1">
        <v>938.59245190508273</v>
      </c>
      <c r="J15" s="1">
        <v>854.68139105595674</v>
      </c>
      <c r="K15" s="1">
        <v>730.49002214436587</v>
      </c>
      <c r="L15" s="1">
        <v>530.02649852851914</v>
      </c>
      <c r="M15" s="1">
        <v>137</v>
      </c>
    </row>
    <row r="16" spans="1:13" x14ac:dyDescent="0.2">
      <c r="A16">
        <v>14</v>
      </c>
      <c r="B16" s="1">
        <v>138</v>
      </c>
      <c r="C16" s="1">
        <v>155</v>
      </c>
      <c r="D16" s="1">
        <v>450.64568990216367</v>
      </c>
      <c r="E16" s="1">
        <v>698.84959705901952</v>
      </c>
      <c r="F16" s="1">
        <v>842.92492442106845</v>
      </c>
      <c r="G16" s="1">
        <v>867.03245006561303</v>
      </c>
      <c r="H16" s="1">
        <v>878.25628728577999</v>
      </c>
      <c r="I16" s="1">
        <v>841.54350176759374</v>
      </c>
      <c r="J16" s="1">
        <v>768.69433475688265</v>
      </c>
      <c r="K16" s="1">
        <v>154</v>
      </c>
      <c r="L16" s="1">
        <v>138</v>
      </c>
      <c r="M16" s="1">
        <v>113</v>
      </c>
    </row>
    <row r="17" spans="1:14" x14ac:dyDescent="0.2">
      <c r="A17">
        <v>15</v>
      </c>
      <c r="B17" s="1">
        <v>115</v>
      </c>
      <c r="C17" s="1">
        <v>135</v>
      </c>
      <c r="D17" s="1">
        <v>149</v>
      </c>
      <c r="E17" s="1">
        <v>626.768897509265</v>
      </c>
      <c r="F17" s="1">
        <v>700.11021754006401</v>
      </c>
      <c r="G17" s="1">
        <v>724.38212525160509</v>
      </c>
      <c r="H17" s="1">
        <v>737.95635761993344</v>
      </c>
      <c r="I17" s="1">
        <v>710.31518109812873</v>
      </c>
      <c r="J17" s="1">
        <v>150</v>
      </c>
      <c r="K17" s="1">
        <v>135</v>
      </c>
      <c r="L17" s="1">
        <v>98</v>
      </c>
      <c r="M17" s="1">
        <v>88</v>
      </c>
    </row>
    <row r="18" spans="1:14" x14ac:dyDescent="0.2">
      <c r="A18">
        <v>16</v>
      </c>
      <c r="B18" s="1">
        <v>31</v>
      </c>
      <c r="C18" s="1">
        <v>117</v>
      </c>
      <c r="D18" s="1">
        <v>242.54465851785056</v>
      </c>
      <c r="E18" s="1">
        <v>431.8379780815236</v>
      </c>
      <c r="F18" s="1">
        <v>518.4366934410433</v>
      </c>
      <c r="G18" s="1">
        <v>534.58578167900691</v>
      </c>
      <c r="H18" s="1">
        <v>546.41905437613218</v>
      </c>
      <c r="I18" s="1">
        <v>518.66764474973922</v>
      </c>
      <c r="J18" s="1">
        <v>403.65303515739106</v>
      </c>
      <c r="K18" s="1">
        <v>85</v>
      </c>
      <c r="L18" s="1">
        <v>9</v>
      </c>
      <c r="M18" s="1">
        <v>10</v>
      </c>
    </row>
    <row r="19" spans="1:14" x14ac:dyDescent="0.2">
      <c r="A19">
        <v>17</v>
      </c>
      <c r="B19" s="1">
        <v>0</v>
      </c>
      <c r="C19" s="1">
        <v>9</v>
      </c>
      <c r="D19" s="1">
        <v>40</v>
      </c>
      <c r="E19" s="1">
        <v>238.1438211627829</v>
      </c>
      <c r="F19" s="1">
        <v>302.38418069413893</v>
      </c>
      <c r="G19" s="1">
        <v>344.74738686006907</v>
      </c>
      <c r="H19" s="1">
        <v>351.84461460148515</v>
      </c>
      <c r="I19" s="1">
        <v>290.41390247968673</v>
      </c>
      <c r="J19" s="1">
        <v>55</v>
      </c>
      <c r="K19" s="1">
        <v>2</v>
      </c>
      <c r="L19" s="1">
        <v>0</v>
      </c>
      <c r="M19" s="1">
        <v>0</v>
      </c>
    </row>
    <row r="20" spans="1:14" x14ac:dyDescent="0.2">
      <c r="A20">
        <v>18</v>
      </c>
      <c r="B20" s="1">
        <v>0</v>
      </c>
      <c r="C20" s="1">
        <v>0</v>
      </c>
      <c r="D20" s="1">
        <v>1</v>
      </c>
      <c r="E20" s="1">
        <v>22.219884765718177</v>
      </c>
      <c r="F20" s="1">
        <v>23.084532386024932</v>
      </c>
      <c r="G20" s="1">
        <v>134.2910994655247</v>
      </c>
      <c r="H20" s="1">
        <v>120.61028348952489</v>
      </c>
      <c r="I20" s="1">
        <v>21.253468635149908</v>
      </c>
      <c r="J20" s="1">
        <v>0</v>
      </c>
      <c r="K20" s="1">
        <v>0</v>
      </c>
      <c r="L20" s="1">
        <v>0</v>
      </c>
      <c r="M20" s="1">
        <v>0</v>
      </c>
    </row>
    <row r="21" spans="1:14" x14ac:dyDescent="0.2">
      <c r="A21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9.4716432126926667E-2</v>
      </c>
      <c r="H21" s="1">
        <v>7.81359817523683E-2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4" x14ac:dyDescent="0.2">
      <c r="A22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4" x14ac:dyDescent="0.2">
      <c r="A23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4" x14ac:dyDescent="0.2">
      <c r="A24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4" x14ac:dyDescent="0.2">
      <c r="A25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t="s">
        <v>23</v>
      </c>
    </row>
    <row r="26" spans="1:14" x14ac:dyDescent="0.2">
      <c r="A26" t="s">
        <v>13</v>
      </c>
      <c r="B26" s="1">
        <v>2319.5404515820924</v>
      </c>
      <c r="C26" s="1">
        <v>2841.9931869629722</v>
      </c>
      <c r="D26" s="1">
        <v>3432.4999974211837</v>
      </c>
      <c r="E26" s="1">
        <v>6342.3750500828501</v>
      </c>
      <c r="F26" s="1">
        <v>7295.8102565917061</v>
      </c>
      <c r="G26" s="1">
        <v>7816.7137908892701</v>
      </c>
      <c r="H26" s="1">
        <v>7643.8776757531859</v>
      </c>
      <c r="I26" s="1">
        <v>7179.7136258278342</v>
      </c>
      <c r="J26" s="1">
        <v>5697.1419244188601</v>
      </c>
      <c r="K26" s="1">
        <v>3955.7483199788971</v>
      </c>
      <c r="L26" s="1">
        <v>2814.2936946102463</v>
      </c>
      <c r="M26" s="1">
        <v>2012.77065505068</v>
      </c>
      <c r="N26" s="1">
        <f>SUM(B26:M26)</f>
        <v>59352.478629169775</v>
      </c>
    </row>
    <row r="28" spans="1:14" x14ac:dyDescent="0.2">
      <c r="A28" t="s">
        <v>12</v>
      </c>
      <c r="B28">
        <v>31</v>
      </c>
      <c r="C28">
        <v>28</v>
      </c>
      <c r="D28">
        <v>31</v>
      </c>
      <c r="E28">
        <v>30</v>
      </c>
      <c r="F28">
        <v>31</v>
      </c>
      <c r="G28">
        <v>30</v>
      </c>
      <c r="H28">
        <v>31</v>
      </c>
      <c r="I28">
        <v>31</v>
      </c>
      <c r="J28">
        <v>30</v>
      </c>
      <c r="K28">
        <v>31</v>
      </c>
      <c r="L28">
        <v>30</v>
      </c>
      <c r="M28">
        <v>31</v>
      </c>
    </row>
    <row r="29" spans="1:14" x14ac:dyDescent="0.2"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25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</row>
    <row r="30" spans="1:14" x14ac:dyDescent="0.2">
      <c r="A30" t="s">
        <v>27</v>
      </c>
      <c r="B30" s="11">
        <f>SUM(B26/1000000)</f>
        <v>2.3195404515820922E-3</v>
      </c>
      <c r="C30" s="11">
        <f t="shared" ref="C30:M30" si="0">SUM(C26/1000000)</f>
        <v>2.8419931869629721E-3</v>
      </c>
      <c r="D30" s="11">
        <f t="shared" si="0"/>
        <v>3.4324999974211837E-3</v>
      </c>
      <c r="E30" s="11">
        <f t="shared" si="0"/>
        <v>6.3423750500828501E-3</v>
      </c>
      <c r="F30" s="11">
        <f t="shared" si="0"/>
        <v>7.295810256591706E-3</v>
      </c>
      <c r="G30" s="11">
        <f t="shared" si="0"/>
        <v>7.8167137908892702E-3</v>
      </c>
      <c r="H30" s="11">
        <f t="shared" si="0"/>
        <v>7.6438776757531864E-3</v>
      </c>
      <c r="I30" s="11">
        <f t="shared" si="0"/>
        <v>7.1797136258278339E-3</v>
      </c>
      <c r="J30" s="11">
        <f t="shared" si="0"/>
        <v>5.6971419244188602E-3</v>
      </c>
      <c r="K30" s="11">
        <f t="shared" si="0"/>
        <v>3.9557483199788969E-3</v>
      </c>
      <c r="L30" s="11">
        <f t="shared" si="0"/>
        <v>2.8142936946102463E-3</v>
      </c>
      <c r="M30" s="11">
        <f t="shared" si="0"/>
        <v>2.01277065505068E-3</v>
      </c>
    </row>
    <row r="31" spans="1:14" x14ac:dyDescent="0.2">
      <c r="A31" s="8"/>
      <c r="B31" s="12">
        <f>SUM(B30-C30)</f>
        <v>-5.2245273538087996E-4</v>
      </c>
      <c r="C31" s="12">
        <f t="shared" ref="C31:L31" si="1">SUM(C30-D30)</f>
        <v>-5.9050681045821158E-4</v>
      </c>
      <c r="D31" s="12">
        <f t="shared" si="1"/>
        <v>-2.9098750526616664E-3</v>
      </c>
      <c r="E31" s="12">
        <f t="shared" si="1"/>
        <v>-9.534352065088559E-4</v>
      </c>
      <c r="F31" s="12">
        <f t="shared" si="1"/>
        <v>-5.2090353429756417E-4</v>
      </c>
      <c r="G31" s="12">
        <f t="shared" si="1"/>
        <v>1.7283611513608382E-4</v>
      </c>
      <c r="H31" s="12">
        <f t="shared" si="1"/>
        <v>4.6416404992535246E-4</v>
      </c>
      <c r="I31" s="12">
        <f t="shared" si="1"/>
        <v>1.4825717014089737E-3</v>
      </c>
      <c r="J31" s="12">
        <f t="shared" si="1"/>
        <v>1.7413936044399633E-3</v>
      </c>
      <c r="K31" s="12">
        <f t="shared" si="1"/>
        <v>1.1414546253686506E-3</v>
      </c>
      <c r="L31" s="12">
        <f t="shared" si="1"/>
        <v>8.0152303955956629E-4</v>
      </c>
      <c r="M31" s="12">
        <f>SUM(M30-B30)</f>
        <v>-3.0676979653141215E-4</v>
      </c>
    </row>
    <row r="32" spans="1:14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31" x14ac:dyDescent="0.2">
      <c r="A33" t="s">
        <v>28</v>
      </c>
      <c r="B33" s="1">
        <f>SUM(B31+C31+D31+E31+F31+G31)</f>
        <v>-5.3243372241710942E-3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31" x14ac:dyDescent="0.2">
      <c r="A34" t="s">
        <v>29</v>
      </c>
      <c r="B34" s="1">
        <f>SUM(B33*0.2)</f>
        <v>-1.0648674448342189E-3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3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31" x14ac:dyDescent="0.2">
      <c r="B36" s="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3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3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3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3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3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3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3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3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3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3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3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4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4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4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4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4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4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4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4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09FC-096B-4444-99F6-A8222AD9DB7C}">
  <dimension ref="A1:J48"/>
  <sheetViews>
    <sheetView topLeftCell="A19" workbookViewId="0">
      <selection activeCell="J19" sqref="J19"/>
    </sheetView>
  </sheetViews>
  <sheetFormatPr baseColWidth="10" defaultColWidth="8.83203125" defaultRowHeight="15" x14ac:dyDescent="0.2"/>
  <cols>
    <col min="1" max="1" width="11.1640625" customWidth="1"/>
    <col min="2" max="2" width="16.1640625" customWidth="1"/>
    <col min="10" max="10" width="12.5" customWidth="1"/>
  </cols>
  <sheetData>
    <row r="1" spans="1:10" x14ac:dyDescent="0.2">
      <c r="A1" s="6" t="s">
        <v>16</v>
      </c>
      <c r="B1" s="5"/>
      <c r="C1" s="5"/>
      <c r="D1" s="5"/>
      <c r="E1" s="7"/>
      <c r="F1" s="7"/>
      <c r="G1" s="7"/>
      <c r="H1" s="7"/>
      <c r="I1" s="7"/>
      <c r="J1" s="7"/>
    </row>
    <row r="2" spans="1:10" x14ac:dyDescent="0.2">
      <c r="A2" s="7" t="s">
        <v>17</v>
      </c>
      <c r="B2" s="5" t="s">
        <v>18</v>
      </c>
      <c r="C2" s="5"/>
      <c r="D2" s="5"/>
      <c r="E2" s="7"/>
      <c r="F2" s="7"/>
      <c r="G2" s="7"/>
      <c r="H2" s="7"/>
      <c r="I2" s="7"/>
      <c r="J2" s="7"/>
    </row>
    <row r="3" spans="1:10" x14ac:dyDescent="0.2">
      <c r="A3" s="7" t="s">
        <v>19</v>
      </c>
      <c r="B3" s="5"/>
      <c r="C3" s="5" t="s">
        <v>20</v>
      </c>
      <c r="D3" s="5"/>
      <c r="E3" s="7"/>
      <c r="F3" s="7"/>
      <c r="G3" s="7"/>
      <c r="H3" s="7"/>
      <c r="I3" s="7" t="s">
        <v>21</v>
      </c>
      <c r="J3" s="4">
        <v>41903</v>
      </c>
    </row>
    <row r="4" spans="1:10" ht="42.75" customHeight="1" x14ac:dyDescent="0.2">
      <c r="A4" s="2" t="s">
        <v>15</v>
      </c>
      <c r="B4" s="3" t="s">
        <v>22</v>
      </c>
    </row>
    <row r="5" spans="1:10" x14ac:dyDescent="0.2">
      <c r="A5" s="4">
        <v>40575</v>
      </c>
      <c r="B5" s="5">
        <v>51739</v>
      </c>
    </row>
    <row r="6" spans="1:10" x14ac:dyDescent="0.2">
      <c r="A6" s="4">
        <v>40603</v>
      </c>
      <c r="B6" s="5">
        <v>65846</v>
      </c>
    </row>
    <row r="7" spans="1:10" x14ac:dyDescent="0.2">
      <c r="A7" s="4">
        <v>40634</v>
      </c>
      <c r="B7" s="5">
        <v>66031</v>
      </c>
    </row>
    <row r="8" spans="1:10" x14ac:dyDescent="0.2">
      <c r="A8" s="4">
        <v>40664</v>
      </c>
      <c r="B8" s="5">
        <v>104430</v>
      </c>
    </row>
    <row r="9" spans="1:10" x14ac:dyDescent="0.2">
      <c r="A9" s="4">
        <v>40695</v>
      </c>
      <c r="B9" s="5">
        <v>118678</v>
      </c>
    </row>
    <row r="10" spans="1:10" x14ac:dyDescent="0.2">
      <c r="A10" s="4">
        <v>40725</v>
      </c>
      <c r="B10" s="5">
        <v>126477</v>
      </c>
    </row>
    <row r="11" spans="1:10" x14ac:dyDescent="0.2">
      <c r="A11" s="4">
        <v>40756</v>
      </c>
      <c r="B11" s="5">
        <v>157398</v>
      </c>
    </row>
    <row r="12" spans="1:10" x14ac:dyDescent="0.2">
      <c r="A12" s="4">
        <v>40787</v>
      </c>
      <c r="B12" s="5">
        <v>137075</v>
      </c>
    </row>
    <row r="13" spans="1:10" x14ac:dyDescent="0.2">
      <c r="A13" s="4">
        <v>40817</v>
      </c>
      <c r="B13" s="5">
        <v>104925</v>
      </c>
    </row>
    <row r="14" spans="1:10" x14ac:dyDescent="0.2">
      <c r="A14" s="4">
        <v>40848</v>
      </c>
      <c r="B14" s="5">
        <v>83047</v>
      </c>
    </row>
    <row r="15" spans="1:10" x14ac:dyDescent="0.2">
      <c r="A15" s="4">
        <v>40878</v>
      </c>
      <c r="B15" s="5">
        <v>47009</v>
      </c>
    </row>
    <row r="16" spans="1:10" x14ac:dyDescent="0.2">
      <c r="A16" s="4">
        <v>40909</v>
      </c>
      <c r="B16" s="5">
        <v>40426</v>
      </c>
    </row>
    <row r="17" spans="1:2" x14ac:dyDescent="0.2">
      <c r="A17" s="4">
        <v>40940</v>
      </c>
      <c r="B17" s="5">
        <v>52290</v>
      </c>
    </row>
    <row r="18" spans="1:2" x14ac:dyDescent="0.2">
      <c r="A18" s="4">
        <v>40969</v>
      </c>
      <c r="B18" s="5">
        <v>70233</v>
      </c>
    </row>
    <row r="19" spans="1:2" x14ac:dyDescent="0.2">
      <c r="A19" s="4">
        <v>41000</v>
      </c>
      <c r="B19" s="5">
        <v>84077</v>
      </c>
    </row>
    <row r="20" spans="1:2" x14ac:dyDescent="0.2">
      <c r="A20" s="4">
        <v>41030</v>
      </c>
      <c r="B20" s="5">
        <v>122912</v>
      </c>
    </row>
    <row r="21" spans="1:2" x14ac:dyDescent="0.2">
      <c r="A21" s="4">
        <v>41061</v>
      </c>
      <c r="B21" s="5">
        <v>147564</v>
      </c>
    </row>
    <row r="22" spans="1:2" x14ac:dyDescent="0.2">
      <c r="A22" s="4">
        <v>41091</v>
      </c>
      <c r="B22" s="5">
        <v>148460</v>
      </c>
    </row>
    <row r="23" spans="1:2" x14ac:dyDescent="0.2">
      <c r="A23" s="4">
        <v>41122</v>
      </c>
      <c r="B23" s="5">
        <v>146748</v>
      </c>
    </row>
    <row r="24" spans="1:2" x14ac:dyDescent="0.2">
      <c r="A24" s="4">
        <v>41153</v>
      </c>
      <c r="B24" s="5">
        <v>125920</v>
      </c>
    </row>
    <row r="25" spans="1:2" x14ac:dyDescent="0.2">
      <c r="A25" s="4">
        <v>41183</v>
      </c>
      <c r="B25" s="5">
        <v>97932</v>
      </c>
    </row>
    <row r="26" spans="1:2" x14ac:dyDescent="0.2">
      <c r="A26" s="4">
        <v>41214</v>
      </c>
      <c r="B26" s="5">
        <v>67133</v>
      </c>
    </row>
    <row r="27" spans="1:2" x14ac:dyDescent="0.2">
      <c r="A27" s="4">
        <v>41244</v>
      </c>
      <c r="B27" s="5">
        <v>47436</v>
      </c>
    </row>
    <row r="28" spans="1:2" x14ac:dyDescent="0.2">
      <c r="A28" s="4">
        <v>41275</v>
      </c>
      <c r="B28" s="5">
        <v>40084</v>
      </c>
    </row>
    <row r="29" spans="1:2" x14ac:dyDescent="0.2">
      <c r="A29" s="4">
        <v>41306</v>
      </c>
      <c r="B29" s="5">
        <v>53264</v>
      </c>
    </row>
    <row r="30" spans="1:2" x14ac:dyDescent="0.2">
      <c r="A30" s="4">
        <v>41334</v>
      </c>
      <c r="B30" s="5">
        <v>64459</v>
      </c>
    </row>
    <row r="31" spans="1:2" x14ac:dyDescent="0.2">
      <c r="A31" s="4">
        <v>41365</v>
      </c>
      <c r="B31" s="5">
        <v>95155</v>
      </c>
    </row>
    <row r="32" spans="1:2" x14ac:dyDescent="0.2">
      <c r="A32" s="4">
        <v>41395</v>
      </c>
      <c r="B32" s="5">
        <v>125737</v>
      </c>
    </row>
    <row r="33" spans="1:2" x14ac:dyDescent="0.2">
      <c r="A33" s="4">
        <v>41426</v>
      </c>
      <c r="B33" s="5">
        <v>131664</v>
      </c>
    </row>
    <row r="34" spans="1:2" x14ac:dyDescent="0.2">
      <c r="A34" s="4">
        <v>41456</v>
      </c>
      <c r="B34" s="5">
        <v>83215</v>
      </c>
    </row>
    <row r="35" spans="1:2" x14ac:dyDescent="0.2">
      <c r="A35" s="4">
        <v>41487</v>
      </c>
      <c r="B35" s="5">
        <v>79620</v>
      </c>
    </row>
    <row r="36" spans="1:2" x14ac:dyDescent="0.2">
      <c r="A36" s="4">
        <v>41518</v>
      </c>
      <c r="B36" s="5">
        <v>120217</v>
      </c>
    </row>
    <row r="37" spans="1:2" x14ac:dyDescent="0.2">
      <c r="A37" s="4">
        <v>41548</v>
      </c>
      <c r="B37" s="5">
        <v>95491</v>
      </c>
    </row>
    <row r="38" spans="1:2" x14ac:dyDescent="0.2">
      <c r="A38" s="4">
        <v>41579</v>
      </c>
      <c r="B38" s="5">
        <v>81300</v>
      </c>
    </row>
    <row r="39" spans="1:2" x14ac:dyDescent="0.2">
      <c r="A39" s="4">
        <v>41609</v>
      </c>
      <c r="B39" s="5">
        <v>53675</v>
      </c>
    </row>
    <row r="40" spans="1:2" x14ac:dyDescent="0.2">
      <c r="A40" s="4">
        <v>41640</v>
      </c>
      <c r="B40" s="5">
        <v>51596</v>
      </c>
    </row>
    <row r="41" spans="1:2" x14ac:dyDescent="0.2">
      <c r="A41" s="4">
        <v>41671</v>
      </c>
      <c r="B41" s="5">
        <v>50084</v>
      </c>
    </row>
    <row r="42" spans="1:2" x14ac:dyDescent="0.2">
      <c r="A42" s="4">
        <v>41699</v>
      </c>
      <c r="B42" s="5">
        <v>52341</v>
      </c>
    </row>
    <row r="43" spans="1:2" x14ac:dyDescent="0.2">
      <c r="A43" s="4">
        <v>41730</v>
      </c>
      <c r="B43" s="5">
        <v>86100</v>
      </c>
    </row>
    <row r="44" spans="1:2" x14ac:dyDescent="0.2">
      <c r="A44" s="4">
        <v>41760</v>
      </c>
      <c r="B44" s="5">
        <v>116210</v>
      </c>
    </row>
    <row r="45" spans="1:2" x14ac:dyDescent="0.2">
      <c r="A45" s="4">
        <v>41791</v>
      </c>
      <c r="B45" s="5">
        <v>137418</v>
      </c>
    </row>
    <row r="46" spans="1:2" x14ac:dyDescent="0.2">
      <c r="A46" s="4">
        <v>41821</v>
      </c>
      <c r="B46" s="5">
        <v>132785</v>
      </c>
    </row>
    <row r="47" spans="1:2" x14ac:dyDescent="0.2">
      <c r="A47" s="4">
        <v>41852</v>
      </c>
      <c r="B47" s="5">
        <v>124956</v>
      </c>
    </row>
    <row r="48" spans="1:2" x14ac:dyDescent="0.2">
      <c r="A48" s="4">
        <v>41883</v>
      </c>
      <c r="B48" s="5">
        <v>112424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Global_Radiation</vt:lpstr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Rongere, Francois-Xavier</dc:creator>
  <cp:lastModifiedBy>Snigdha Gurram</cp:lastModifiedBy>
  <dcterms:created xsi:type="dcterms:W3CDTF">2021-10-11T20:40:48Z</dcterms:created>
  <dcterms:modified xsi:type="dcterms:W3CDTF">2022-11-13T17:00:18Z</dcterms:modified>
</cp:coreProperties>
</file>